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at\iCloudDrive\Alpata Teknoloji\Teknoloji 2026\Otomotiv 2026 Projeler\Muhasebe Fatura Okuma\"/>
    </mc:Choice>
  </mc:AlternateContent>
  <xr:revisionPtr revIDLastSave="0" documentId="8_{499163CB-36DF-4BEB-AB78-345B59120E58}" xr6:coauthVersionLast="47" xr6:coauthVersionMax="47" xr10:uidLastSave="{00000000-0000-0000-0000-000000000000}"/>
  <bookViews>
    <workbookView xWindow="-110" yWindow="-110" windowWidth="22180" windowHeight="14500" xr2:uid="{CF520812-DCD0-4458-AEBA-C0CB4400A2E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J7" i="1" s="1"/>
  <c r="K7" i="1" s="1"/>
  <c r="G6" i="1"/>
  <c r="J6" i="1" s="1"/>
  <c r="K6" i="1" s="1"/>
  <c r="G5" i="1"/>
  <c r="J5" i="1" s="1"/>
  <c r="K5" i="1" s="1"/>
  <c r="G4" i="1"/>
  <c r="J4" i="1" s="1"/>
  <c r="K4" i="1" s="1"/>
  <c r="G3" i="1"/>
  <c r="J3" i="1" s="1"/>
  <c r="K3" i="1" s="1"/>
  <c r="G2" i="1"/>
  <c r="J2" i="1" s="1"/>
  <c r="K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Gürkan Sakarya ( Otomotiv )</author>
  </authors>
  <commentList>
    <comment ref="M7" authorId="0" shapeId="0" xr:uid="{5B086671-BAED-4551-9899-153F1D727E06}">
      <text>
        <r>
          <rPr>
            <b/>
            <sz val="9"/>
            <color indexed="81"/>
            <rFont val="Tahoma"/>
            <family val="2"/>
            <charset val="162"/>
          </rPr>
          <t>Gürkan Sakarya ( Otomotiv ):</t>
        </r>
        <r>
          <rPr>
            <sz val="9"/>
            <color indexed="81"/>
            <rFont val="Tahoma"/>
            <family val="2"/>
            <charset val="162"/>
          </rPr>
          <t xml:space="preserve">
31.01.2026 AOS2026000000068 15.000,00 TL</t>
        </r>
      </text>
    </comment>
  </commentList>
</comments>
</file>

<file path=xl/sharedStrings.xml><?xml version="1.0" encoding="utf-8"?>
<sst xmlns="http://schemas.openxmlformats.org/spreadsheetml/2006/main" count="38" uniqueCount="37">
  <si>
    <t>Sıra
No</t>
  </si>
  <si>
    <t>FATURA
TARİHİ</t>
  </si>
  <si>
    <t>ARAÇ MODELİ</t>
  </si>
  <si>
    <t>ARAÇ ŞASİ NO</t>
  </si>
  <si>
    <t>SİPARİŞ
NO</t>
  </si>
  <si>
    <t xml:space="preserve">ARAÇ </t>
  </si>
  <si>
    <t xml:space="preserve">NAKLİYE </t>
  </si>
  <si>
    <t>OMS</t>
  </si>
  <si>
    <t>Alış
Maliyeti Toplamı</t>
  </si>
  <si>
    <t>KDV Dahil 
Fatura 
Tutarı</t>
  </si>
  <si>
    <t>Vergiler 
Hariç Satış
Tutarı</t>
  </si>
  <si>
    <t>Kampanya 
Tutarı</t>
  </si>
  <si>
    <t>FLEXCARE</t>
  </si>
  <si>
    <t>Satış
Karı</t>
  </si>
  <si>
    <t>Kamp.
Dahil Kar</t>
  </si>
  <si>
    <t>Kamp. 
Hariç Kar</t>
  </si>
  <si>
    <t xml:space="preserve">Müşteri Adı </t>
  </si>
  <si>
    <t>Satış
Tarihi</t>
  </si>
  <si>
    <t>Fatura No</t>
  </si>
  <si>
    <t xml:space="preserve">AÇIKLAMA </t>
  </si>
  <si>
    <t>PE12025000067891</t>
  </si>
  <si>
    <t>JUMPER VAN 3.5T L4H2(15M3) 2.2 BLUEHDİ 180 MT</t>
  </si>
  <si>
    <t>VF7YDG6F0SG040587</t>
  </si>
  <si>
    <t>PE12025000067906</t>
  </si>
  <si>
    <t>YENİ E-C3 MAX 83 KW</t>
  </si>
  <si>
    <t>VR7CBZYA3ST197687</t>
  </si>
  <si>
    <t>PE12025000072071</t>
  </si>
  <si>
    <t>YENİ JUMPY PANELVAN 1.5 BLUEHDİ 120HP</t>
  </si>
  <si>
    <t>VF7VJYHV5SZ084255</t>
  </si>
  <si>
    <t>PE12025000072076</t>
  </si>
  <si>
    <t>YENİ C3 AIRCROSS MAX 1.2 HYBRID 145HP</t>
  </si>
  <si>
    <t>VR7CGHPY3ST196937</t>
  </si>
  <si>
    <t>PE12025000072077</t>
  </si>
  <si>
    <t>VR7CBZYA3ST227643</t>
  </si>
  <si>
    <t>PE02025000132314</t>
  </si>
  <si>
    <t>YENİ E-C4 X MAX 115KW</t>
  </si>
  <si>
    <t>VR7BFZKW6SE069145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</si>
</sst>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b/>
      <i/>
      <sz val="7"/>
      <color indexed="10"/>
      <name val="Arial"/>
      <family val="2"/>
      <charset val="162"/>
    </font>
    <font>
      <b/>
      <i/>
      <sz val="7"/>
      <color rgb="FF0000FF"/>
      <name val="Arial"/>
      <family val="2"/>
      <charset val="162"/>
    </font>
    <font>
      <sz val="7"/>
      <name val="Arial"/>
      <family val="2"/>
      <charset val="162"/>
    </font>
    <font>
      <b/>
      <sz val="7"/>
      <color rgb="FF0000FF"/>
      <name val="Arial"/>
      <family val="2"/>
      <charset val="162"/>
    </font>
    <font>
      <b/>
      <sz val="7"/>
      <color indexed="10"/>
      <name val="Arial"/>
      <family val="2"/>
      <charset val="162"/>
    </font>
    <font>
      <b/>
      <sz val="7"/>
      <color indexed="18"/>
      <name val="Arial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 wrapText="1"/>
    </xf>
    <xf numFmtId="4" fontId="1" fillId="2" borderId="5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/>
    <xf numFmtId="4" fontId="3" fillId="0" borderId="8" xfId="0" applyNumberFormat="1" applyFont="1" applyBorder="1" applyAlignment="1">
      <alignment horizontal="center"/>
    </xf>
    <xf numFmtId="4" fontId="3" fillId="0" borderId="8" xfId="0" applyNumberFormat="1" applyFont="1" applyBorder="1"/>
    <xf numFmtId="164" fontId="3" fillId="0" borderId="8" xfId="0" applyNumberFormat="1" applyFont="1" applyBorder="1"/>
    <xf numFmtId="164" fontId="4" fillId="3" borderId="8" xfId="0" applyNumberFormat="1" applyFont="1" applyFill="1" applyBorder="1"/>
    <xf numFmtId="164" fontId="3" fillId="2" borderId="8" xfId="0" applyNumberFormat="1" applyFont="1" applyFill="1" applyBorder="1"/>
    <xf numFmtId="10" fontId="3" fillId="0" borderId="8" xfId="0" applyNumberFormat="1" applyFont="1" applyBorder="1" applyAlignment="1">
      <alignment horizontal="right"/>
    </xf>
    <xf numFmtId="10" fontId="3" fillId="0" borderId="8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left"/>
    </xf>
    <xf numFmtId="1" fontId="5" fillId="0" borderId="7" xfId="0" quotePrefix="1" applyNumberFormat="1" applyFont="1" applyBorder="1" applyAlignment="1">
      <alignment horizontal="center"/>
    </xf>
    <xf numFmtId="0" fontId="6" fillId="0" borderId="7" xfId="0" applyFont="1" applyBorder="1"/>
    <xf numFmtId="164" fontId="3" fillId="4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0277-FEC8-4F0C-ACF1-8484A39885C3}">
  <dimension ref="A1:U7"/>
  <sheetViews>
    <sheetView tabSelected="1" workbookViewId="0">
      <selection activeCell="D9" sqref="D9"/>
    </sheetView>
  </sheetViews>
  <sheetFormatPr defaultRowHeight="14.5" x14ac:dyDescent="0.35"/>
  <cols>
    <col min="1" max="1" width="3.453125" bestFit="1" customWidth="1"/>
    <col min="2" max="2" width="5.7265625" bestFit="1" customWidth="1"/>
    <col min="3" max="3" width="12.453125" bestFit="1" customWidth="1"/>
    <col min="4" max="4" width="31.7265625" bestFit="1" customWidth="1"/>
    <col min="5" max="5" width="14.26953125" bestFit="1" customWidth="1"/>
    <col min="6" max="6" width="5.81640625" bestFit="1" customWidth="1"/>
    <col min="7" max="7" width="8.26953125" bestFit="1" customWidth="1"/>
    <col min="8" max="8" width="6.54296875" bestFit="1" customWidth="1"/>
    <col min="9" max="9" width="3.81640625" bestFit="1" customWidth="1"/>
    <col min="10" max="11" width="8.26953125" bestFit="1" customWidth="1"/>
    <col min="12" max="12" width="7.54296875" bestFit="1" customWidth="1"/>
    <col min="13" max="13" width="7.26953125" bestFit="1" customWidth="1"/>
    <col min="14" max="14" width="7.7265625" bestFit="1" customWidth="1"/>
    <col min="15" max="15" width="4" bestFit="1" customWidth="1"/>
    <col min="16" max="17" width="6.6328125" bestFit="1" customWidth="1"/>
    <col min="18" max="18" width="8.26953125" bestFit="1" customWidth="1"/>
    <col min="19" max="19" width="4.6328125" bestFit="1" customWidth="1"/>
    <col min="20" max="20" width="6.90625" bestFit="1" customWidth="1"/>
    <col min="21" max="21" width="7.453125" bestFit="1" customWidth="1"/>
  </cols>
  <sheetData>
    <row r="1" spans="1:21" ht="27.5" thickBot="1" x14ac:dyDescent="0.4">
      <c r="A1" s="1" t="s">
        <v>0</v>
      </c>
      <c r="B1" s="2" t="s">
        <v>1</v>
      </c>
      <c r="C1" s="3"/>
      <c r="D1" s="4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0" t="s">
        <v>13</v>
      </c>
      <c r="P1" s="12" t="s">
        <v>14</v>
      </c>
      <c r="Q1" s="12" t="s">
        <v>15</v>
      </c>
      <c r="R1" s="7" t="s">
        <v>16</v>
      </c>
      <c r="S1" s="12" t="s">
        <v>17</v>
      </c>
      <c r="T1" s="12" t="s">
        <v>18</v>
      </c>
      <c r="U1" s="12" t="s">
        <v>19</v>
      </c>
    </row>
    <row r="2" spans="1:21" x14ac:dyDescent="0.35">
      <c r="A2" s="13">
        <v>1</v>
      </c>
      <c r="B2" s="14">
        <v>45985</v>
      </c>
      <c r="C2" s="15" t="s">
        <v>20</v>
      </c>
      <c r="D2" s="16" t="s">
        <v>21</v>
      </c>
      <c r="E2" s="15" t="s">
        <v>22</v>
      </c>
      <c r="F2" s="15"/>
      <c r="G2" s="17">
        <f>1445600.09-185643.56</f>
        <v>1259956.53</v>
      </c>
      <c r="H2" s="17">
        <v>0</v>
      </c>
      <c r="I2" s="17">
        <v>0</v>
      </c>
      <c r="J2" s="17">
        <f t="shared" ref="J2:J7" si="0">+G2+H2+I2</f>
        <v>1259956.53</v>
      </c>
      <c r="K2" s="17">
        <f t="shared" ref="K2:K7" si="1">J2*1.2</f>
        <v>1511947.8359999999</v>
      </c>
      <c r="L2" s="18"/>
      <c r="M2" s="19"/>
      <c r="N2" s="20"/>
      <c r="O2" s="21"/>
      <c r="P2" s="22"/>
      <c r="Q2" s="23"/>
      <c r="R2" s="24"/>
      <c r="S2" s="14"/>
      <c r="T2" s="25"/>
      <c r="U2" s="26"/>
    </row>
    <row r="3" spans="1:21" x14ac:dyDescent="0.35">
      <c r="A3" s="13">
        <v>2</v>
      </c>
      <c r="B3" s="14">
        <v>45985</v>
      </c>
      <c r="C3" s="15" t="s">
        <v>23</v>
      </c>
      <c r="D3" s="16" t="s">
        <v>24</v>
      </c>
      <c r="E3" s="15" t="s">
        <v>25</v>
      </c>
      <c r="F3" s="15"/>
      <c r="G3" s="17">
        <f>972283-13201.32</f>
        <v>959081.68</v>
      </c>
      <c r="H3" s="17">
        <v>0</v>
      </c>
      <c r="I3" s="17">
        <v>0</v>
      </c>
      <c r="J3" s="17">
        <f t="shared" si="0"/>
        <v>959081.68</v>
      </c>
      <c r="K3" s="17">
        <f t="shared" si="1"/>
        <v>1150898.0160000001</v>
      </c>
      <c r="L3" s="18"/>
      <c r="M3" s="19"/>
      <c r="N3" s="20"/>
      <c r="O3" s="21"/>
      <c r="P3" s="22"/>
      <c r="Q3" s="23"/>
      <c r="R3" s="24"/>
      <c r="S3" s="14"/>
      <c r="T3" s="25"/>
      <c r="U3" s="26"/>
    </row>
    <row r="4" spans="1:21" x14ac:dyDescent="0.35">
      <c r="A4" s="13">
        <v>3</v>
      </c>
      <c r="B4" s="14">
        <v>45988</v>
      </c>
      <c r="C4" s="15" t="s">
        <v>26</v>
      </c>
      <c r="D4" s="16" t="s">
        <v>27</v>
      </c>
      <c r="E4" s="15" t="s">
        <v>28</v>
      </c>
      <c r="F4" s="15"/>
      <c r="G4" s="17">
        <f>1155710.53-113448.84</f>
        <v>1042261.6900000001</v>
      </c>
      <c r="H4" s="17">
        <v>0</v>
      </c>
      <c r="I4" s="17">
        <v>0</v>
      </c>
      <c r="J4" s="17">
        <f t="shared" si="0"/>
        <v>1042261.6900000001</v>
      </c>
      <c r="K4" s="17">
        <f t="shared" si="1"/>
        <v>1250714.0279999999</v>
      </c>
      <c r="L4" s="18"/>
      <c r="M4" s="19"/>
      <c r="N4" s="20"/>
      <c r="O4" s="21"/>
      <c r="P4" s="22"/>
      <c r="Q4" s="23"/>
      <c r="R4" s="24"/>
      <c r="S4" s="14"/>
      <c r="T4" s="25"/>
      <c r="U4" s="26"/>
    </row>
    <row r="5" spans="1:21" x14ac:dyDescent="0.35">
      <c r="A5" s="13">
        <v>4</v>
      </c>
      <c r="B5" s="14">
        <v>45988</v>
      </c>
      <c r="C5" s="15" t="s">
        <v>29</v>
      </c>
      <c r="D5" s="16" t="s">
        <v>30</v>
      </c>
      <c r="E5" s="15" t="s">
        <v>31</v>
      </c>
      <c r="F5" s="15"/>
      <c r="G5" s="17">
        <f>886499.14-8958.04</f>
        <v>877541.1</v>
      </c>
      <c r="H5" s="17">
        <v>0</v>
      </c>
      <c r="I5" s="17">
        <v>0</v>
      </c>
      <c r="J5" s="17">
        <f t="shared" si="0"/>
        <v>877541.1</v>
      </c>
      <c r="K5" s="17">
        <f t="shared" si="1"/>
        <v>1053049.3199999998</v>
      </c>
      <c r="L5" s="18"/>
      <c r="M5" s="19"/>
      <c r="N5" s="20"/>
      <c r="O5" s="21"/>
      <c r="P5" s="22"/>
      <c r="Q5" s="23"/>
      <c r="R5" s="24"/>
      <c r="S5" s="14"/>
      <c r="T5" s="25"/>
      <c r="U5" s="26"/>
    </row>
    <row r="6" spans="1:21" x14ac:dyDescent="0.35">
      <c r="A6" s="13">
        <v>5</v>
      </c>
      <c r="B6" s="14">
        <v>45988</v>
      </c>
      <c r="C6" s="15" t="s">
        <v>32</v>
      </c>
      <c r="D6" s="16" t="s">
        <v>24</v>
      </c>
      <c r="E6" s="15" t="s">
        <v>33</v>
      </c>
      <c r="F6" s="15"/>
      <c r="G6" s="17">
        <f>972283-13201.32</f>
        <v>959081.68</v>
      </c>
      <c r="H6" s="17">
        <v>0</v>
      </c>
      <c r="I6" s="17">
        <v>0</v>
      </c>
      <c r="J6" s="17">
        <f t="shared" si="0"/>
        <v>959081.68</v>
      </c>
      <c r="K6" s="17">
        <f t="shared" si="1"/>
        <v>1150898.0160000001</v>
      </c>
      <c r="L6" s="18"/>
      <c r="M6" s="19"/>
      <c r="N6" s="20"/>
      <c r="O6" s="21"/>
      <c r="P6" s="22"/>
      <c r="Q6" s="23"/>
      <c r="R6" s="24"/>
      <c r="S6" s="14"/>
      <c r="T6" s="25"/>
      <c r="U6" s="26"/>
    </row>
    <row r="7" spans="1:21" x14ac:dyDescent="0.35">
      <c r="A7" s="13">
        <v>6</v>
      </c>
      <c r="B7" s="14">
        <v>45989</v>
      </c>
      <c r="C7" s="15" t="s">
        <v>34</v>
      </c>
      <c r="D7" s="16" t="s">
        <v>35</v>
      </c>
      <c r="E7" s="15" t="s">
        <v>36</v>
      </c>
      <c r="F7" s="15"/>
      <c r="G7" s="17">
        <f>1417828.27-198460.01</f>
        <v>1219368.26</v>
      </c>
      <c r="H7" s="17">
        <v>0</v>
      </c>
      <c r="I7" s="17">
        <v>0</v>
      </c>
      <c r="J7" s="17">
        <f t="shared" si="0"/>
        <v>1219368.26</v>
      </c>
      <c r="K7" s="17">
        <f t="shared" si="1"/>
        <v>1463241.912</v>
      </c>
      <c r="L7" s="18"/>
      <c r="M7" s="27">
        <v>15000</v>
      </c>
      <c r="N7" s="20"/>
      <c r="O7" s="21"/>
      <c r="P7" s="22"/>
      <c r="Q7" s="23"/>
      <c r="R7" s="24"/>
      <c r="S7" s="14"/>
      <c r="T7" s="25"/>
      <c r="U7" s="26"/>
    </row>
  </sheetData>
  <mergeCells count="1">
    <mergeCell ref="B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Sağlam   ( Alpata Teknoloji )</dc:creator>
  <cp:lastModifiedBy>Murat Sağlam   ( Alpata Teknoloji )</cp:lastModifiedBy>
  <dcterms:created xsi:type="dcterms:W3CDTF">2026-03-09T08:14:33Z</dcterms:created>
  <dcterms:modified xsi:type="dcterms:W3CDTF">2026-03-09T08:16:04Z</dcterms:modified>
</cp:coreProperties>
</file>